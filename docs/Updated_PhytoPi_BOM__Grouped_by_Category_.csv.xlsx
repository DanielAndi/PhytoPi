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olan/Documents/PhytoPi/docs/"/>
    </mc:Choice>
  </mc:AlternateContent>
  <xr:revisionPtr revIDLastSave="0" documentId="13_ncr:1_{73ED0550-66D5-8343-BA62-DE5792A6AF47}" xr6:coauthVersionLast="47" xr6:coauthVersionMax="47" xr10:uidLastSave="{00000000-0000-0000-0000-000000000000}"/>
  <bookViews>
    <workbookView xWindow="0" yWindow="500" windowWidth="28800" windowHeight="15680" xr2:uid="{1A1AE574-9999-4643-B58E-C08CEB9A4683}"/>
  </bookViews>
  <sheets>
    <sheet name="Updated_PhytoPi_BOM__Grouped_b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<sst xmlns="http://schemas.openxmlformats.org/spreadsheetml/2006/main" count="352" uniqueCount="260">
  <si>
    <t>Color Code</t>
  </si>
  <si>
    <t>Design Complete</t>
  </si>
  <si>
    <t>Design in Progress</t>
  </si>
  <si>
    <t>A</t>
  </si>
  <si>
    <t>Could Change</t>
  </si>
  <si>
    <t>ID</t>
  </si>
  <si>
    <t>Task Category</t>
  </si>
  <si>
    <t>Item</t>
  </si>
  <si>
    <t>Specification</t>
  </si>
  <si>
    <t>Qty</t>
  </si>
  <si>
    <t>Unit</t>
  </si>
  <si>
    <t>Unit Price (USD)</t>
  </si>
  <si>
    <t>Total (USD)</t>
  </si>
  <si>
    <t>Notes</t>
  </si>
  <si>
    <t>Time to Acquire (Days)</t>
  </si>
  <si>
    <t>Purchase Link</t>
  </si>
  <si>
    <t>Automatic Watering System</t>
  </si>
  <si>
    <t>12V DC Power Supply (for pump)</t>
  </si>
  <si>
    <t>Wall adapter 12V 2A</t>
  </si>
  <si>
    <t>pcs</t>
  </si>
  <si>
    <t>Separate from Pi power</t>
  </si>
  <si>
    <t>https://www.amazon.com/s?k=12v+2a+power+supply</t>
  </si>
  <si>
    <t>4-Channel Relay Module 5V</t>
  </si>
  <si>
    <t>Opto-isolated preferred</t>
  </si>
  <si>
    <t>Switch pump and accessories</t>
  </si>
  <si>
    <t>https://www.amazon.com/s?k=4+channel+relay+module+5v</t>
  </si>
  <si>
    <t>Adjustable Drip Emitters</t>
  </si>
  <si>
    <t>2-10 L/h; pack of 10</t>
  </si>
  <si>
    <t>One per pot (3 pcs used)</t>
  </si>
  <si>
    <t>https://www.amazon.com/s?k=adjustable+drip+emitters</t>
  </si>
  <si>
    <t>Check Valve (1/4")</t>
  </si>
  <si>
    <t>Non-return valve</t>
  </si>
  <si>
    <t>Prevents siphoning/backflow</t>
  </si>
  <si>
    <t>https://www.amazon.com/s?k=1%2F4+inch+check+valve</t>
  </si>
  <si>
    <t>Drip Manifold + 1/4" Barbed Tees</t>
  </si>
  <si>
    <t>3-way or 4-way splitter</t>
  </si>
  <si>
    <t>set</t>
  </si>
  <si>
    <t>Fan-out to each pot</t>
  </si>
  <si>
    <t>https://www.amazon.com/s?k=1%2F4+barbed+tee+fittings+irrigation</t>
  </si>
  <si>
    <t>Food-Grade Reservoir (1-2 gal)</t>
  </si>
  <si>
    <t>HDPE container with lid</t>
  </si>
  <si>
    <t>Can repurpose water jug</t>
  </si>
  <si>
    <t>https://www.amazon.com/s?k=2+gallon+water+jug+container</t>
  </si>
  <si>
    <t>Inline Mesh Filter (1/4")</t>
  </si>
  <si>
    <t>Debris filter for pump line</t>
  </si>
  <si>
    <t>Protect emitters from clogging</t>
  </si>
  <si>
    <t>https://www.amazon.com/s?k=inline+filter+1%2F4+irrigation</t>
  </si>
  <si>
    <t>Silicone/Vinyl Tubing, 1/4" ID</t>
  </si>
  <si>
    <t>10-20 ft roll</t>
  </si>
  <si>
    <t>roll</t>
  </si>
  <si>
    <t>Pump to drip lines</t>
  </si>
  <si>
    <t>https://www.amazon.com/s?k=1%2F4+inch+vinyl+tubing</t>
  </si>
  <si>
    <t>Submersible DC Pump (5-12V)</t>
  </si>
  <si>
    <t>Mini pump 240-300 L/h range</t>
  </si>
  <si>
    <t>Reservoir â†’ drip manifold</t>
  </si>
  <si>
    <t>https://www.amazon.com/s?k=mini+submersible+dc+pump+5v+12v</t>
  </si>
  <si>
    <t>Control</t>
  </si>
  <si>
    <t>Smart Plug (WiFi)</t>
  </si>
  <si>
    <t>On/Off scheduling via app</t>
  </si>
  <si>
    <t>Optional; Pi can log/control via API</t>
  </si>
  <si>
    <t>DIY Tent Frame</t>
  </si>
  <si>
    <t>12-pack 3 Way PVC Fittings 3/4 Inch</t>
  </si>
  <si>
    <t>PVC Pipe Connector Elbow</t>
  </si>
  <si>
    <t>Top &amp; bottom corners</t>
  </si>
  <si>
    <t>https://www.amazon.com/12-Pack-Fittings-Furniture-Connector-Structure/dp/B0C69BLRMG/ref=pd_day0fbt_hardlines_d_sccl_2/139-1576181-0431922?pd_rd_w=2bYol&amp;content-id=amzn1.sym.06aea998-aa9c-454e-b467-b476407c7977&amp;pf_rd_p=06aea998-aa9c-454e-b467-b476407c7977&amp;pf_rd_r=XVCHBMRE0BF17QK4EATT&amp;pd_rd_wg=jrCg7&amp;pd_rd_r=47b12c02-b336-4bec-8dcd-68dda4e88b93&amp;pd_rd_i=B0C69BLRMG&amp;th=1</t>
  </si>
  <si>
    <t xml:space="preserve"> #8 x 3/4" Self-Tapping Truss Head Screws 100 Pcs</t>
  </si>
  <si>
    <t>#8 x 3/4" Screws</t>
  </si>
  <si>
    <t>Screws for corners</t>
  </si>
  <si>
    <t>https://www.amazon.com/Parts-Express-Self-Tapping-Truss-Screws/dp/B0002ZPEX6</t>
  </si>
  <si>
    <t>PVC Pipe, 3/4" Schedule 40 (10 ft sticks)</t>
  </si>
  <si>
    <t>Cut to length for 24"x24"x55" frame</t>
  </si>
  <si>
    <t>stick (10 ft)</t>
  </si>
  <si>
    <t>~50 ft total; include ~10% waste</t>
  </si>
  <si>
    <t>https://www.homedepot.com/p/Charlotte-Pipe-3-4-in-x-10-ft-PVC-Schedule-40-Pressure-Plain-End-Pipe-PVC-04007-0600/100348472</t>
  </si>
  <si>
    <t>PVC Tee, 3/4"</t>
  </si>
  <si>
    <t>Slip x Slip x Slip</t>
  </si>
  <si>
    <t>Mid braces / rigidity</t>
  </si>
  <si>
    <t>https://www.homedepot.com/p/Charlotte-Pipe-3-4-in-Schedule-40-S-x-S-x-S-Tee-PVC024000800HD/203812197</t>
  </si>
  <si>
    <t>12 Pack 3/4" Cross PVC Fitting Connector, 4-Way Cross Furniture Grade Elbow</t>
  </si>
  <si>
    <t xml:space="preserve"> 3/4" Cross PVC Fitting Connector</t>
  </si>
  <si>
    <t xml:space="preserve">Middle braces for connection </t>
  </si>
  <si>
    <t xml:space="preserve"> </t>
  </si>
  <si>
    <t>Rubber End Caps, 3/4"</t>
  </si>
  <si>
    <t>Feet for floor protection</t>
  </si>
  <si>
    <t>Vibration damping</t>
  </si>
  <si>
    <t>https://www.amazon.com/Roving-Cove-Protector-Heavy-Duty-Furniture/dp/B00JU3JMHK/ref=sr_1_10?dib=eyJ2IjoiMSJ9.agGC96_sPIM-dcbJsVv9A-rnm1VVeoZ2J6R0VwT-D2Yq4ammlb5ZVQhJCVffpZBQXBM3BRjveejImlwwMOG2ou3EMiXmVEq2VOkAqQwBVp6jNWuzg1urYGssov6Akg7aOgwNk9HAGTgcH6YwTUYZiIY_4SjjCyVn5lchHpR0p6NtMWuE2ksJx0WCrWF3fHUHiGKFwsXs5bL0DqlCi031z8oin7pl62M3bZ-q6aadq14Wt-wibzN71q8J8QnJrQgXa8tILR10OfOb6dVqCKe1ucYp_y85gJt1eQPwkxHv99c.14iA1p1Dyg8eEX2fFkVr4vbWGC0Eq329Pl-iTHM1zZY&amp;dib_tag=se&amp;keywords=rubber%2Bcovers%2Bfor%2Bmetal%2Bor%2Bsharp%2Bends&amp;qid=1760080637&amp;sr=8-10&amp;th=1</t>
  </si>
  <si>
    <t>DIY Tent Skin</t>
  </si>
  <si>
    <t>Blackout Fabric (outer)</t>
  </si>
  <si>
    <t>57" width; matte black</t>
  </si>
  <si>
    <t>yd</t>
  </si>
  <si>
    <t>Preferablly 110" width but couldn't find black mate color</t>
  </si>
  <si>
    <t>https://www.amazon.com/Blackout-Drapery-Percent-Waterproof-Sunshade/dp/B06XRYLV1S/ref=pd_sbs_d_sccl_2_1/139-1576181-0431922?pd_rd_w=nDea3&amp;content-id=amzn1.sym.2cd14f8d-eb5c-4042-b934-4a05eafd2874&amp;pf_rd_p=2cd14f8d-eb5c-4042-b934-4a05eafd2874&amp;pf_rd_r=SE5R04VMBY7DSKW7MSW5&amp;pd_rd_wg=xQwSx&amp;pd_rd_r=49d913e7-be5d-4ef7-aec3-32d0e7e39277&amp;pd_rd_i=B06XRYLV1S&amp;th=1</t>
  </si>
  <si>
    <t>Heavy-Duty Coil Zipper #10</t>
  </si>
  <si>
    <t>Black; 9.2 m length</t>
  </si>
  <si>
    <t>Front door opening</t>
  </si>
  <si>
    <t>https://www.amazon.com/Zippers-Zipper-Sliders-Replacement-Sewing/dp/B0DYHM1V7F/ref=sr_1_11?crid=2A8B4XEM0HJZX&amp;dib=eyJ2IjoiMSJ9.olNz_wAsXu-7mUnpOd4S0cl8Suf24oEdLkuAQenRdgTPi4OhySOkiYqxRa4yX-I7djTvhF7iyVf-Js5wzr02xLR5i14DP4dxPk29OzKFiZ5hAS2woSjyYqWUmPBK8gG9vskJT7FUla3BWVMm5YtgeXi1GUtfyXmkEkMUE-J6VLUl0YhoIisX2SY-vgRdelKGoWqZZE7C0AZRCC8H44WhFNAxW-xLpWKS-a9mD8NztskHYaMFWZpUjh37n9rVOJXJ5mBf2RrC6Aua5ZJJQXr9XXoZvGgP3FF2WQsgh9Jvmfg.wJX-iTnoLzAe97DC_nZpxHBJ_LXvxw_rH0BzE_x2FEA&amp;dib_tag=se&amp;keywords=coil+zipper&amp;qid=1760077935&amp;s=arts-crafts&amp;sprefix=coild+zippe%2Carts-crafts%2C142&amp;sr=1-11</t>
  </si>
  <si>
    <t>Hook &amp; Loop (Velcro) Tape</t>
  </si>
  <si>
    <t>1 in x 4 in.; sew-on</t>
  </si>
  <si>
    <t>m</t>
  </si>
  <si>
    <t>Cable ports, light sealing</t>
  </si>
  <si>
    <t>https://www.amazon.com/Art3d-Sticky-Double-Sided-Command-Adhesive/dp/B0B58FGF8H/ref=sr_1_4?c=ts&amp;dib=eyJ2IjoiMSJ9.iX4B8mEQFYaqUoYXBUp79ZnjV1mnwOh3pu0u2eD1TfsVVRltQ3gIOCq5zpUJOahyXfvv3ylY043ATvRd44WR_quZoH7WfkjhLbSwShRMp2d7AnmS2MpWQyfrcKamYciS0MeLItk8mmEa_WMQWrNAAzr_LxezT0r1rr-YKgWgscpf1kPJZ6fowB1bfWHehlKv_xYM-aXb22kv0H9DgbJGqv7O4mZA7O18bmoC5q4YuWDf8bji1W4CWpZoNfjxs7U6Utr0y2S1G6KLuC7KfUAeLcyi1_64TwWqcHfqo1kK4_A.WFRzAHRvIAvplmjZTxwxSsQpuMgx8NwaRcdeOM4xGTw&amp;dib_tag=se&amp;keywords=Hook%2B%26%2BLoop%2BStrips&amp;qid=1760078347&amp;s=industrial&amp;sr=1-4&amp;ts_id=401521011&amp;th=1</t>
  </si>
  <si>
    <t>Polyester Thread (heavy-duty)</t>
  </si>
  <si>
    <t>UV-resistant, black</t>
  </si>
  <si>
    <t>spool</t>
  </si>
  <si>
    <t>Sewing panels &amp; zipper</t>
  </si>
  <si>
    <t>https://www.amazon.com/UV-Resistant-Simthread-Polyester-NP-Black/dp/B0CGV2HK8X?th=1</t>
  </si>
  <si>
    <t>Reflective Mylar (inner)</t>
  </si>
  <si>
    <t>Emergency blanket, silver</t>
  </si>
  <si>
    <t>Highly Reflective Mylar Film Roll</t>
  </si>
  <si>
    <t>https://www.amazon.com/VIVOSUN-Horticulture-Highly-Reflective-Mylar/dp/B018VI75CS?th=1</t>
  </si>
  <si>
    <t>Development &amp; Integration</t>
  </si>
  <si>
    <t>I²C Level Shifter (3.3V-5V)</t>
  </si>
  <si>
    <t>Bi-directional 4-ch</t>
  </si>
  <si>
    <t>If any 5V modules are used</t>
  </si>
  <si>
    <t>https://www.amazon.com/s?k=I2C+level+shifter</t>
  </si>
  <si>
    <t>Jumper Wire Kit (M-F/M-M)</t>
  </si>
  <si>
    <t>Dupont assorted pack</t>
  </si>
  <si>
    <t>Prototyping &amp; wiring</t>
  </si>
  <si>
    <t>https://www.amazon.com/s?k=dupont+jumper+wires+kit</t>
  </si>
  <si>
    <t>MicroSD Card 64GB (A2 U3)</t>
  </si>
  <si>
    <t>High-endurance recommended</t>
  </si>
  <si>
    <t>OS + logging</t>
  </si>
  <si>
    <t>https://www.amazon.com/s?k=microSD+64GB+A2+U3</t>
  </si>
  <si>
    <t>Multimeter (basic)</t>
  </si>
  <si>
    <t>Auto-ranging preferred</t>
  </si>
  <si>
    <t>Debug power &amp; signal</t>
  </si>
  <si>
    <t>https://www.amazon.com/s?k=multimeter+auto+range</t>
  </si>
  <si>
    <t>Official Pi 5 Power Supply (27W)</t>
  </si>
  <si>
    <t>USB-C 5V 5A</t>
  </si>
  <si>
    <t>Stable power for Pi 5</t>
  </si>
  <si>
    <t>https://www.amazon.com/s?k=raspberry+pi+5+power+supply+27w</t>
  </si>
  <si>
    <t>PCA9548A I²C Multiplexer (optional)</t>
  </si>
  <si>
    <t>8-channel I²C mux</t>
  </si>
  <si>
    <t>If address conflicts occur</t>
  </si>
  <si>
    <t>https://www.amazon.com/s?k=PCA9548A+I2C+multiplexer</t>
  </si>
  <si>
    <t>Raspberry Pi 5 (4-8GB)</t>
  </si>
  <si>
    <t>Main controller</t>
  </si>
  <si>
    <t>If not already owned</t>
  </si>
  <si>
    <t>https://www.amazon.com/s?k=Raspberry+Pi+5+8GB</t>
  </si>
  <si>
    <t>Solderless Breadboard</t>
  </si>
  <si>
    <t>400-830 tie points</t>
  </si>
  <si>
    <t>Sensor prototyping</t>
  </si>
  <si>
    <t>https://www.amazon.com/s?k=breadboard+830</t>
  </si>
  <si>
    <t>USB to TTL Serial Adapter (FTDI/CP2102)</t>
  </si>
  <si>
    <t>Debug console</t>
  </si>
  <si>
    <t>Headless debug convenience</t>
  </si>
  <si>
    <t>https://www.amazon.com/s?k=USB+to+TTL+serial+adapter</t>
  </si>
  <si>
    <t>Display &amp; Showcase</t>
  </si>
  <si>
    <t>0.96" I²C OLED Display (SSD1306)</t>
  </si>
  <si>
    <t>128x64 px</t>
  </si>
  <si>
    <t>Mini info boards (2x)</t>
  </si>
  <si>
    <t>https://www.amazon.com/s?k=ssd1306+0.96+oled+i2c</t>
  </si>
  <si>
    <t>7" HDMI Touchscreen for Raspberry Pi</t>
  </si>
  <si>
    <t>1024x600 or 800x480 w/ driver board</t>
  </si>
  <si>
    <t>Primary dashboard on tent top</t>
  </si>
  <si>
    <t>https://www.amazon.com/s?k=7+inch+hdmi+touchscreen+raspberry+pi</t>
  </si>
  <si>
    <t>Acrylic/PLA Mounting Hardware</t>
  </si>
  <si>
    <t>Standoffs, brackets, zip ties</t>
  </si>
  <si>
    <t>Mount displays safely</t>
  </si>
  <si>
    <t>https://www.amazon.com/s?k=raspberry+pi+mounting+standoffs+set</t>
  </si>
  <si>
    <t>HDMI Cable (short right-angle)</t>
  </si>
  <si>
    <t>Mini/standard as needed</t>
  </si>
  <si>
    <t>For compact routing</t>
  </si>
  <si>
    <t>https://www.amazon.com/s?k=short+hdmi+cable+right+angle</t>
  </si>
  <si>
    <t>USB Cable for Touch (A-&gt;Micro/USB-C)</t>
  </si>
  <si>
    <t>Match touchscreen controller</t>
  </si>
  <si>
    <t>Touch panel signal</t>
  </si>
  <si>
    <t>https://www.amazon.com/s?k=short+usb+cable</t>
  </si>
  <si>
    <t>WS2812B LED Strip (1m, USB/5V)</t>
  </si>
  <si>
    <t>30 LEDs/m</t>
  </si>
  <si>
    <t>Ambient attract mode</t>
  </si>
  <si>
    <t>https://www.amazon.com/s?k=ws2812b+led+strip+5v+1m</t>
  </si>
  <si>
    <t>Integration</t>
  </si>
  <si>
    <t>Aluminum Foil Tape</t>
  </si>
  <si>
    <t>HVAC-grade</t>
  </si>
  <si>
    <t>Seal light leaks &amp; seams</t>
  </si>
  <si>
    <t>Cable Grommet/Gland Assortment</t>
  </si>
  <si>
    <t>Rubber pass-throughs</t>
  </si>
  <si>
    <t>Sensor &amp; power cable ports</t>
  </si>
  <si>
    <t>Zip Ties</t>
  </si>
  <si>
    <t>100-200 mm assorted</t>
  </si>
  <si>
    <t>pack</t>
  </si>
  <si>
    <t>Cable management</t>
  </si>
  <si>
    <t>Lighting</t>
  </si>
  <si>
    <t>Rope Ratchet Hangers, 1/8" (pair)</t>
  </si>
  <si>
    <t>Adjustable light mount</t>
  </si>
  <si>
    <t>pair</t>
  </si>
  <si>
    <t>For LED height control</t>
  </si>
  <si>
    <t>TS600-class LED Grow Light (~100 W)</t>
  </si>
  <si>
    <t>Mars Hydro TS600 or equivalent</t>
  </si>
  <si>
    <t>Cheapest typical sale price</t>
  </si>
  <si>
    <t>ML / Imaging</t>
  </si>
  <si>
    <t>Camera Ribbon Cable (long)</t>
  </si>
  <si>
    <t>30-50 cm</t>
  </si>
  <si>
    <t>Route to suitable angle</t>
  </si>
  <si>
    <t>https://www.amazon.com/s?k=raspberry+pi+camera+cable+50cm</t>
  </si>
  <si>
    <t>LED Ring Light (USB, dimmable)</t>
  </si>
  <si>
    <t>6-10 inch</t>
  </si>
  <si>
    <t>Even illumination for photos</t>
  </si>
  <si>
    <t>https://www.amazon.com/s?k=usb+ring+light+10+inch</t>
  </si>
  <si>
    <t>Mini Tripod / Gooseneck Mount</t>
  </si>
  <si>
    <t>Clamp or stand</t>
  </si>
  <si>
    <t>Aim camera at canopy</t>
  </si>
  <si>
    <t>https://www.amazon.com/s?k=mini+tripod+gooseneck+mount</t>
  </si>
  <si>
    <t>Raspberry Pi Camera Module 3 (Wide)</t>
  </si>
  <si>
    <t>12MP, autofocus</t>
  </si>
  <si>
    <t>For plant health images</t>
  </si>
  <si>
    <t>https://www.amazon.com/s?k=raspberry+pi+camera+module+3+wide</t>
  </si>
  <si>
    <t xml:space="preserve">Sensors &amp; Electronics </t>
  </si>
  <si>
    <t>ADS1115 16-bit ADC (4-ch)</t>
  </si>
  <si>
    <t>I²C ADC module</t>
  </si>
  <si>
    <t>Reads analog moisture sensors</t>
  </si>
  <si>
    <t>https://www.amazon.com/s?k=ADS1115+ADC</t>
  </si>
  <si>
    <t>BH1750 Light Sensor</t>
  </si>
  <si>
    <t>I²C lux sensor, 1-65535 lx</t>
  </si>
  <si>
    <t>Place at canopy height</t>
  </si>
  <si>
    <t>https://www.amazon.com/s?k=BH1750+I2C</t>
  </si>
  <si>
    <t>BME280 (Temp/Humidity/Pressure)</t>
  </si>
  <si>
    <t>I²C breakout, 3.3V compatible</t>
  </si>
  <si>
    <t>Air T/RH/Pressure near canopy</t>
  </si>
  <si>
    <t>https://www.amazon.com/s?k=BME280+breakout+I2C</t>
  </si>
  <si>
    <t>CO2 Sensor (SCD41 or MH-Z19C)</t>
  </si>
  <si>
    <t>NDIR CO2 sensor (choose variant)</t>
  </si>
  <si>
    <t>Optional but recommended for showcase</t>
  </si>
  <si>
    <t>https://www.amazon.com/s?k=SCD41+CO2+sensor</t>
  </si>
  <si>
    <t>Capacitive Soil Moisture Sensor v2</t>
  </si>
  <si>
    <t>Analog output, corrosion resistant</t>
  </si>
  <si>
    <t>One per pot (3 pots max) via ADC</t>
  </si>
  <si>
    <t>https://www.amazon.com/s?k=capacitive+soil+moisture+sensor+v2</t>
  </si>
  <si>
    <t>DS18B20 Waterproof Temp Probe</t>
  </si>
  <si>
    <t>Stainless steel encapsulated, 1-Wire</t>
  </si>
  <si>
    <t>Soil or reservoir temperature</t>
  </si>
  <si>
    <t>https://www.amazon.com/s?k=DS18B20+waterproof</t>
  </si>
  <si>
    <t>Water Level Sensor (Ultrasonic HC-SR04 or Float)</t>
  </si>
  <si>
    <t>Reservoir level detection</t>
  </si>
  <si>
    <t>Prevent dry-run of pump</t>
  </si>
  <si>
    <t>https://www.amazon.com/s?k=ultrasonic+hc-sr04+module</t>
  </si>
  <si>
    <t>RS485 Soil pH Level Sensor</t>
  </si>
  <si>
    <t>Soil pH level detection</t>
  </si>
  <si>
    <t>Ensure soil pH is correct for plant</t>
  </si>
  <si>
    <t>https://www.amazon.com/Taidda-Special%E3%80%91-Operate-Density-Vegetables/dp/B08KVT9JPR?sr=8-5&amp;language=en_US&amp;ref_=as_li_ss_tl</t>
  </si>
  <si>
    <t>MAX485 Transceiver Module</t>
  </si>
  <si>
    <t>Converting TTL UART Serial to RS485</t>
  </si>
  <si>
    <t>Allow communication with pH level sensor</t>
  </si>
  <si>
    <t>Ventilation</t>
  </si>
  <si>
    <t>120 mm Fan Grills (4-pack)</t>
  </si>
  <si>
    <t>Protective grills</t>
  </si>
  <si>
    <t>pack (4)</t>
  </si>
  <si>
    <t>Safety &amp; airflow</t>
  </si>
  <si>
    <t>https://www.amazon.com/Easycargo-120mm-Grill-Guard-Screws/dp/B07VCNLQZD/ref=sr_1_3?dib=eyJ2IjoiMSJ9.tDtLw3d8tkuPe_75hozv6QLJgrhN1Xl4hPS4HRIUf4PwQp_7Yjvk5x3xA7qZ2rHCuhqlGzShsJ0NdG-UQdh9hKGFME4FTSSrv39kGn-_q8AnijX0w3gAgjSR6XpdRM4O85mRR2xH2lAofh_B9rr0VbSIEiML9_ucxTA20arlkeb_4r4xVMp0wzi7Azb7O-L4J57ZYpAEHvVSnxbGjmKhN7zvqJ0P2cytWFzTNJ8GmIM.ic-NWb45SqauP1UIBK1FsK9pWd-W4yEnjcxRMnegg90&amp;dib_tag=se&amp;keywords=120mm+fan+grill&amp;qid=1760084257&amp;sr=8-3</t>
  </si>
  <si>
    <t>120 mm USB Fan (2-pack)</t>
  </si>
  <si>
    <t>Case fans for intake/exhaust</t>
  </si>
  <si>
    <t>pack (2)</t>
  </si>
  <si>
    <t>Budget airflow solution</t>
  </si>
  <si>
    <t>https://www.amazon.com/AC-Infinity-MULTIFAN-Receiver-Playstation/dp/B00JLV4BWC?psc=1&amp;pd_rd_w=k3Kc4&amp;content-id=amzn1.sym.55c0153f-1fb7-42ff-8241-d1c0f3732289&amp;pf_rd_p=55c0153f-1fb7-42ff-8241-d1c0f3732289&amp;pf_rd_r=7T7NYBP0H8VP92DM9CK8&amp;pd_rd_wg=dtQid&amp;pd_rd_r=bce59f41-dc16-47cd-9930-12f76fbb363f&amp;ref_=sspa_dk_detail_sbb_0&amp;sp_csd=d2lkZ2V0TmFtZT1zcF9kZXRhaWxfdGhlbWF0aWM=</t>
  </si>
  <si>
    <t>Internal Airflow</t>
  </si>
  <si>
    <t>6" Clip Fan (desk/clip)</t>
  </si>
  <si>
    <t>Oscillating preferred</t>
  </si>
  <si>
    <t>Circulates air within tent</t>
  </si>
  <si>
    <t>https://www.amazon.com/Spider-Farmer-Grow-Clip-Oscillating/dp/B0C6P78TPN?th=1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</si>
</sst>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E97132"/>
      <name val="Aptos Narrow"/>
      <scheme val="minor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8" fillId="33" borderId="0" xfId="42" applyFill="1"/>
    <xf numFmtId="0" fontId="20" fillId="33" borderId="0" xfId="0" applyFont="1" applyFill="1"/>
    <xf numFmtId="0" fontId="21" fillId="33" borderId="0" xfId="0" applyFont="1" applyFill="1"/>
    <xf numFmtId="0" fontId="22" fillId="0" borderId="0" xfId="0" applyFont="1"/>
    <xf numFmtId="0" fontId="19" fillId="34" borderId="0" xfId="0" applyFont="1" applyFill="1"/>
    <xf numFmtId="0" fontId="0" fillId="34" borderId="0" xfId="0" applyFill="1"/>
    <xf numFmtId="0" fontId="22" fillId="34" borderId="0" xfId="0" applyFont="1" applyFill="1"/>
    <xf numFmtId="0" fontId="18" fillId="34" borderId="0" xfId="42" applyFill="1"/>
    <xf numFmtId="0" fontId="22" fillId="33" borderId="0" xfId="0" applyFont="1" applyFill="1"/>
    <xf numFmtId="2" fontId="0" fillId="34" borderId="0" xfId="0" applyNumberFormat="1" applyFill="1"/>
    <xf numFmtId="2" fontId="0" fillId="33" borderId="0" xfId="0" applyNumberFormat="1" applyFill="1"/>
    <xf numFmtId="0" fontId="21" fillId="0" borderId="0" xfId="0" applyFont="1" applyAlignment="1">
      <alignment horizontal="center"/>
    </xf>
    <xf numFmtId="0" fontId="0" fillId="34" borderId="0" xfId="0" applyFill="1" applyAlignment="1">
      <alignment horizontal="right"/>
    </xf>
    <xf numFmtId="0" fontId="0" fillId="33" borderId="0" xfId="0" applyFill="1" applyAlignment="1">
      <alignment horizontal="right"/>
    </xf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Parts-Express-Self-Tapping-Truss-Screws/dp/B0002ZPEX6" TargetMode="External"/><Relationship Id="rId13" Type="http://schemas.openxmlformats.org/officeDocument/2006/relationships/hyperlink" Target="https://www.amazon.com/Spider-Farmer-Grow-Clip-Oscillating/dp/B0C6P78TPN?th=1" TargetMode="External"/><Relationship Id="rId18" Type="http://schemas.openxmlformats.org/officeDocument/2006/relationships/hyperlink" Target="https://www.amazon.com/s?k=BME280+breakout+I2C" TargetMode="External"/><Relationship Id="rId3" Type="http://schemas.openxmlformats.org/officeDocument/2006/relationships/hyperlink" Target="https://www.amazon.com/s?k=adjustable+drip+emitters" TargetMode="External"/><Relationship Id="rId7" Type="http://schemas.openxmlformats.org/officeDocument/2006/relationships/hyperlink" Target="https://www.homedepot.com/p/Charlotte-Pipe-3-4-in-x-10-ft-PVC-Schedule-40-Pressure-Plain-End-Pipe-PVC-04007-0600/100348472" TargetMode="External"/><Relationship Id="rId12" Type="http://schemas.openxmlformats.org/officeDocument/2006/relationships/hyperlink" Target="https://www.amazon.com/Easycargo-120mm-Grill-Guard-Screws/dp/B07VCNLQZD/ref=sr_1_3?dib=eyJ2IjoiMSJ9.tDtLw3d8tkuPe_75hozv6QLJgrhN1Xl4hPS4HRIUf4PwQp_7Yjvk5x3xA7qZ2rHCuhqlGzShsJ0NdG-UQdh9hKGFME4FTSSrv39kGn-_q8AnijX0w3gAgjSR6XpdRM4O85mRR2xH2lAofh_B9rr0VbSIEiML9_ucxTA20arlkeb_4r4xVMp0wzi7Azb7O-L4J57ZYpAEHvVSnxbGjmKhN7zvqJ0P2cytWFzTNJ8GmIM.ic-NWb45SqauP1UIBK1FsK9pWd-W4yEnjcxRMnegg90&amp;dib_tag=se&amp;keywords=120mm+fan+grill&amp;qid=1760084257&amp;sr=8-3" TargetMode="External"/><Relationship Id="rId17" Type="http://schemas.openxmlformats.org/officeDocument/2006/relationships/hyperlink" Target="https://www.amazon.com/Taidda-Special%E3%80%91-Operate-Density-Vegetables/dp/B08KVT9JPR?sr=8-5&amp;language=en_US&amp;ref_=as_li_ss_tl" TargetMode="External"/><Relationship Id="rId2" Type="http://schemas.openxmlformats.org/officeDocument/2006/relationships/hyperlink" Target="https://www.amazon.com/s?k=4+channel+relay+module+5v" TargetMode="External"/><Relationship Id="rId16" Type="http://schemas.openxmlformats.org/officeDocument/2006/relationships/hyperlink" Target="https://www.amazon.com/s?k=capacitive+soil+moisture+sensor+v2" TargetMode="External"/><Relationship Id="rId1" Type="http://schemas.openxmlformats.org/officeDocument/2006/relationships/hyperlink" Target="https://www.amazon.com/s?k=12v+2a+power+supply" TargetMode="External"/><Relationship Id="rId6" Type="http://schemas.openxmlformats.org/officeDocument/2006/relationships/hyperlink" Target="https://www.homedepot.com/p/Charlotte-Pipe-3-4-in-Schedule-40-S-x-S-x-S-Tee-PVC024000800HD/203812197" TargetMode="External"/><Relationship Id="rId11" Type="http://schemas.openxmlformats.org/officeDocument/2006/relationships/hyperlink" Target="https://www.amazon.com/AC-Infinity-MULTIFAN-Receiver-Playstation/dp/B00JLV4BWC?psc=1&amp;pd_rd_w=k3Kc4&amp;content-id=amzn1.sym.55c0153f-1fb7-42ff-8241-d1c0f3732289&amp;pf_rd_p=55c0153f-1fb7-42ff-8241-d1c0f3732289&amp;pf_rd_r=7T7NYBP0H8VP92DM9CK8&amp;pd_rd_wg=dtQid&amp;pd_rd_r=bce59f41-dc16-47cd-9930-12f76fbb363f&amp;ref_=sspa_dk_detail_sbb_0&amp;sp_csd=d2lkZ2V0TmFtZT1zcF9kZXRhaWxfdGhlbWF0aWM=" TargetMode="External"/><Relationship Id="rId5" Type="http://schemas.openxmlformats.org/officeDocument/2006/relationships/hyperlink" Target="https://www.amazon.com/UV-Resistant-Simthread-Polyester-NP-Black/dp/B0CGV2HK8X?th=1" TargetMode="External"/><Relationship Id="rId15" Type="http://schemas.openxmlformats.org/officeDocument/2006/relationships/hyperlink" Target="https://www.amazon.com/s?k=DS18B20+waterproof" TargetMode="External"/><Relationship Id="rId10" Type="http://schemas.openxmlformats.org/officeDocument/2006/relationships/hyperlink" Target="https://www.amazon.com/12-Pack-Fittings-Furniture-Connector-Structure/dp/B0C69BLRMG/ref=pd_day0fbt_hardlines_d_sccl_2/139-1576181-0431922?pd_rd_w=2bYol&amp;content-id=amzn1.sym.06aea998-aa9c-454e-b467-b476407c7977&amp;pf_rd_p=06aea998-aa9c-454e-b467-b476407c7977&amp;pf_rd_r=XVCHBMRE0BF17QK4EATT&amp;pd_rd_wg=jrCg7&amp;pd_rd_r=47b12c02-b336-4bec-8dcd-68dda4e88b93&amp;pd_rd_i=B0C69BLRMG&amp;th=1" TargetMode="External"/><Relationship Id="rId19" Type="http://schemas.openxmlformats.org/officeDocument/2006/relationships/hyperlink" Target="https://www.amazon.com/s?k=BH1750+I2C" TargetMode="External"/><Relationship Id="rId4" Type="http://schemas.openxmlformats.org/officeDocument/2006/relationships/hyperlink" Target="https://www.amazon.com/VIVOSUN-Horticulture-Highly-Reflective-Mylar/dp/B018VI75CS?th=1" TargetMode="External"/><Relationship Id="rId9" Type="http://schemas.openxmlformats.org/officeDocument/2006/relationships/hyperlink" Target="https://www.amazon.com/12-Pack-Fittings-Furniture-Connector-Structure/dp/B0C69BLRMG/ref=pd_day0fbt_hardlines_d_sccl_2/139-1576181-0431922?pd_rd_w=2bYol&amp;content-id=amzn1.sym.06aea998-aa9c-454e-b467-b476407c7977&amp;pf_rd_p=06aea998-aa9c-454e-b467-b476407c7977&amp;pf_rd_r=XVCHBMRE0BF17QK4EATT&amp;pd_rd_wg=jrCg7&amp;pd_rd_r=47b12c02-b336-4bec-8dcd-68dda4e88b93&amp;pd_rd_i=B0C69BLRMG&amp;th=1" TargetMode="External"/><Relationship Id="rId14" Type="http://schemas.openxmlformats.org/officeDocument/2006/relationships/hyperlink" Target="https://www.amazon.com/s?k=ultrasonic+hc-sr04+mo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D3D4-BCC6-4D34-9982-67619EA36BE9}">
  <dimension ref="A1:L80"/>
  <sheetViews>
    <sheetView tabSelected="1" topLeftCell="D25" zoomScale="88" zoomScaleNormal="100" workbookViewId="0">
      <selection activeCell="K53" sqref="K53"/>
    </sheetView>
  </sheetViews>
  <sheetFormatPr baseColWidth="10" defaultColWidth="8.83203125" defaultRowHeight="15" x14ac:dyDescent="0.2"/>
  <cols>
    <col min="1" max="1" width="12.5" customWidth="1"/>
    <col min="2" max="2" width="34" customWidth="1"/>
    <col min="3" max="3" width="71" customWidth="1"/>
    <col min="4" max="4" width="38.5" customWidth="1"/>
    <col min="6" max="6" width="11.5" customWidth="1"/>
    <col min="8" max="8" width="18.5" customWidth="1"/>
    <col min="9" max="9" width="48.1640625" customWidth="1"/>
    <col min="10" max="10" width="16.5" customWidth="1"/>
    <col min="11" max="11" width="58.1640625" customWidth="1"/>
    <col min="12" max="12" width="39" customWidth="1"/>
  </cols>
  <sheetData>
    <row r="1" spans="1:11" x14ac:dyDescent="0.2">
      <c r="A1" t="s">
        <v>0</v>
      </c>
    </row>
    <row r="2" spans="1:11" x14ac:dyDescent="0.2">
      <c r="A2" s="1"/>
      <c r="B2" t="s">
        <v>1</v>
      </c>
    </row>
    <row r="3" spans="1:11" x14ac:dyDescent="0.2">
      <c r="A3" s="7"/>
      <c r="B3" t="s">
        <v>2</v>
      </c>
    </row>
    <row r="4" spans="1:11" x14ac:dyDescent="0.2">
      <c r="A4" s="13" t="s">
        <v>3</v>
      </c>
      <c r="B4" t="s">
        <v>4</v>
      </c>
    </row>
    <row r="6" spans="1:11" x14ac:dyDescent="0.2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</row>
    <row r="7" spans="1:11" x14ac:dyDescent="0.2">
      <c r="A7">
        <f>1</f>
        <v>1</v>
      </c>
      <c r="B7" s="6" t="s">
        <v>16</v>
      </c>
      <c r="C7" s="7" t="s">
        <v>17</v>
      </c>
      <c r="D7" s="7" t="s">
        <v>18</v>
      </c>
      <c r="E7" s="14">
        <v>1</v>
      </c>
      <c r="F7" s="14" t="s">
        <v>19</v>
      </c>
      <c r="G7" s="11">
        <v>9.99</v>
      </c>
      <c r="H7" s="11">
        <v>9.99</v>
      </c>
      <c r="I7" s="7" t="s">
        <v>20</v>
      </c>
      <c r="J7" s="8">
        <v>2</v>
      </c>
      <c r="K7" s="9" t="s">
        <v>21</v>
      </c>
    </row>
    <row r="8" spans="1:11" x14ac:dyDescent="0.2">
      <c r="A8">
        <f t="shared" ref="A8:A39" si="0">A7+1</f>
        <v>2</v>
      </c>
      <c r="B8" s="6" t="s">
        <v>16</v>
      </c>
      <c r="C8" s="7" t="s">
        <v>22</v>
      </c>
      <c r="D8" s="7" t="s">
        <v>23</v>
      </c>
      <c r="E8" s="14">
        <v>1</v>
      </c>
      <c r="F8" s="14" t="s">
        <v>19</v>
      </c>
      <c r="G8" s="11">
        <v>8.49</v>
      </c>
      <c r="H8" s="11">
        <v>8.49</v>
      </c>
      <c r="I8" s="7" t="s">
        <v>24</v>
      </c>
      <c r="J8" s="8">
        <v>2</v>
      </c>
      <c r="K8" s="9" t="s">
        <v>25</v>
      </c>
    </row>
    <row r="9" spans="1:11" x14ac:dyDescent="0.2">
      <c r="A9">
        <f t="shared" si="0"/>
        <v>3</v>
      </c>
      <c r="B9" s="6" t="s">
        <v>16</v>
      </c>
      <c r="C9" s="7" t="s">
        <v>26</v>
      </c>
      <c r="D9" s="7" t="s">
        <v>27</v>
      </c>
      <c r="E9" s="14">
        <v>3</v>
      </c>
      <c r="F9" s="14" t="s">
        <v>19</v>
      </c>
      <c r="G9" s="11">
        <v>0.6</v>
      </c>
      <c r="H9" s="11">
        <v>1.8</v>
      </c>
      <c r="I9" s="7" t="s">
        <v>28</v>
      </c>
      <c r="J9" s="8">
        <v>2</v>
      </c>
      <c r="K9" s="9" t="s">
        <v>29</v>
      </c>
    </row>
    <row r="10" spans="1:11" x14ac:dyDescent="0.2">
      <c r="A10">
        <f t="shared" si="0"/>
        <v>4</v>
      </c>
      <c r="B10" s="6" t="s">
        <v>16</v>
      </c>
      <c r="C10" s="7" t="s">
        <v>30</v>
      </c>
      <c r="D10" s="7" t="s">
        <v>31</v>
      </c>
      <c r="E10" s="14">
        <v>1</v>
      </c>
      <c r="F10" s="14" t="s">
        <v>19</v>
      </c>
      <c r="G10" s="11">
        <v>5.99</v>
      </c>
      <c r="H10" s="11">
        <v>5.99</v>
      </c>
      <c r="I10" s="7" t="s">
        <v>32</v>
      </c>
      <c r="J10" s="8">
        <v>2</v>
      </c>
      <c r="K10" s="7" t="s">
        <v>33</v>
      </c>
    </row>
    <row r="11" spans="1:11" x14ac:dyDescent="0.2">
      <c r="A11">
        <f t="shared" si="0"/>
        <v>5</v>
      </c>
      <c r="B11" s="6" t="s">
        <v>16</v>
      </c>
      <c r="C11" s="7" t="s">
        <v>34</v>
      </c>
      <c r="D11" s="7" t="s">
        <v>35</v>
      </c>
      <c r="E11" s="14">
        <v>1</v>
      </c>
      <c r="F11" s="14" t="s">
        <v>36</v>
      </c>
      <c r="G11" s="11">
        <v>9.99</v>
      </c>
      <c r="H11" s="11">
        <v>9.99</v>
      </c>
      <c r="I11" s="7" t="s">
        <v>37</v>
      </c>
      <c r="J11" s="8">
        <v>2</v>
      </c>
      <c r="K11" s="7" t="s">
        <v>38</v>
      </c>
    </row>
    <row r="12" spans="1:11" x14ac:dyDescent="0.2">
      <c r="A12">
        <f t="shared" si="0"/>
        <v>6</v>
      </c>
      <c r="B12" s="6" t="s">
        <v>16</v>
      </c>
      <c r="C12" s="7" t="s">
        <v>39</v>
      </c>
      <c r="D12" s="7" t="s">
        <v>40</v>
      </c>
      <c r="E12" s="14">
        <v>1</v>
      </c>
      <c r="F12" s="14" t="s">
        <v>19</v>
      </c>
      <c r="G12" s="11">
        <v>14.99</v>
      </c>
      <c r="H12" s="11">
        <v>14.99</v>
      </c>
      <c r="I12" s="7" t="s">
        <v>41</v>
      </c>
      <c r="J12" s="8">
        <v>2</v>
      </c>
      <c r="K12" s="7" t="s">
        <v>42</v>
      </c>
    </row>
    <row r="13" spans="1:11" x14ac:dyDescent="0.2">
      <c r="A13">
        <f t="shared" si="0"/>
        <v>7</v>
      </c>
      <c r="B13" s="6" t="s">
        <v>16</v>
      </c>
      <c r="C13" s="7" t="s">
        <v>43</v>
      </c>
      <c r="D13" s="7" t="s">
        <v>44</v>
      </c>
      <c r="E13" s="14">
        <v>1</v>
      </c>
      <c r="F13" s="14" t="s">
        <v>19</v>
      </c>
      <c r="G13" s="11">
        <v>6.99</v>
      </c>
      <c r="H13" s="11">
        <v>6.99</v>
      </c>
      <c r="I13" s="7" t="s">
        <v>45</v>
      </c>
      <c r="J13" s="8">
        <v>2</v>
      </c>
      <c r="K13" s="7" t="s">
        <v>46</v>
      </c>
    </row>
    <row r="14" spans="1:11" x14ac:dyDescent="0.2">
      <c r="A14">
        <f t="shared" si="0"/>
        <v>8</v>
      </c>
      <c r="B14" s="6" t="s">
        <v>16</v>
      </c>
      <c r="C14" s="7" t="s">
        <v>47</v>
      </c>
      <c r="D14" s="7" t="s">
        <v>48</v>
      </c>
      <c r="E14" s="14">
        <v>1</v>
      </c>
      <c r="F14" s="14" t="s">
        <v>49</v>
      </c>
      <c r="G14" s="11">
        <v>8.99</v>
      </c>
      <c r="H14" s="11">
        <v>8.99</v>
      </c>
      <c r="I14" s="7" t="s">
        <v>50</v>
      </c>
      <c r="J14" s="8">
        <v>2</v>
      </c>
      <c r="K14" s="7" t="s">
        <v>51</v>
      </c>
    </row>
    <row r="15" spans="1:11" x14ac:dyDescent="0.2">
      <c r="A15">
        <f t="shared" si="0"/>
        <v>9</v>
      </c>
      <c r="B15" s="6" t="s">
        <v>16</v>
      </c>
      <c r="C15" s="7" t="s">
        <v>52</v>
      </c>
      <c r="D15" s="7" t="s">
        <v>53</v>
      </c>
      <c r="E15" s="14">
        <v>1</v>
      </c>
      <c r="F15" s="14" t="s">
        <v>19</v>
      </c>
      <c r="G15" s="11">
        <v>12.99</v>
      </c>
      <c r="H15" s="11">
        <v>12.99</v>
      </c>
      <c r="I15" s="7" t="s">
        <v>54</v>
      </c>
      <c r="J15" s="8">
        <v>2</v>
      </c>
      <c r="K15" s="7" t="s">
        <v>55</v>
      </c>
    </row>
    <row r="16" spans="1:11" x14ac:dyDescent="0.2">
      <c r="A16">
        <f t="shared" si="0"/>
        <v>10</v>
      </c>
      <c r="B16" s="7" t="s">
        <v>56</v>
      </c>
      <c r="C16" s="7" t="s">
        <v>57</v>
      </c>
      <c r="D16" s="7" t="s">
        <v>58</v>
      </c>
      <c r="E16" s="14">
        <v>1</v>
      </c>
      <c r="F16" s="14" t="s">
        <v>19</v>
      </c>
      <c r="G16" s="11">
        <v>6</v>
      </c>
      <c r="H16" s="11">
        <v>6</v>
      </c>
      <c r="I16" s="7" t="s">
        <v>59</v>
      </c>
      <c r="J16" s="8"/>
      <c r="K16" s="7"/>
    </row>
    <row r="17" spans="1:12" x14ac:dyDescent="0.2">
      <c r="A17">
        <f t="shared" si="0"/>
        <v>11</v>
      </c>
      <c r="B17" s="1" t="s">
        <v>60</v>
      </c>
      <c r="C17" s="1" t="s">
        <v>61</v>
      </c>
      <c r="D17" s="1" t="s">
        <v>62</v>
      </c>
      <c r="E17" s="15">
        <v>1</v>
      </c>
      <c r="F17" s="15" t="s">
        <v>19</v>
      </c>
      <c r="G17" s="12">
        <v>13.25</v>
      </c>
      <c r="H17" s="12">
        <v>13.25</v>
      </c>
      <c r="I17" s="1" t="s">
        <v>63</v>
      </c>
      <c r="J17" s="10">
        <v>2</v>
      </c>
      <c r="K17" s="2" t="s">
        <v>64</v>
      </c>
    </row>
    <row r="18" spans="1:12" x14ac:dyDescent="0.2">
      <c r="A18">
        <f t="shared" si="0"/>
        <v>12</v>
      </c>
      <c r="B18" s="1" t="s">
        <v>60</v>
      </c>
      <c r="C18" s="1" t="s">
        <v>65</v>
      </c>
      <c r="D18" s="1" t="s">
        <v>66</v>
      </c>
      <c r="E18" s="15">
        <v>1</v>
      </c>
      <c r="F18" s="15" t="s">
        <v>19</v>
      </c>
      <c r="G18" s="12">
        <v>11.49</v>
      </c>
      <c r="H18" s="12">
        <v>11.49</v>
      </c>
      <c r="I18" s="1" t="s">
        <v>67</v>
      </c>
      <c r="J18" s="10">
        <v>2</v>
      </c>
      <c r="K18" s="2" t="s">
        <v>68</v>
      </c>
    </row>
    <row r="19" spans="1:12" x14ac:dyDescent="0.2">
      <c r="A19">
        <f t="shared" si="0"/>
        <v>13</v>
      </c>
      <c r="B19" s="1" t="s">
        <v>60</v>
      </c>
      <c r="C19" s="1" t="s">
        <v>69</v>
      </c>
      <c r="D19" s="1" t="s">
        <v>70</v>
      </c>
      <c r="E19" s="15">
        <v>5</v>
      </c>
      <c r="F19" s="15" t="s">
        <v>71</v>
      </c>
      <c r="G19" s="12">
        <v>4.8600000000000003</v>
      </c>
      <c r="H19" s="12">
        <v>24.3</v>
      </c>
      <c r="I19" s="1" t="s">
        <v>72</v>
      </c>
      <c r="J19" s="10">
        <v>2</v>
      </c>
      <c r="K19" s="2" t="s">
        <v>73</v>
      </c>
    </row>
    <row r="20" spans="1:12" x14ac:dyDescent="0.2">
      <c r="A20">
        <f t="shared" si="0"/>
        <v>14</v>
      </c>
      <c r="B20" s="1" t="s">
        <v>60</v>
      </c>
      <c r="C20" s="1" t="s">
        <v>74</v>
      </c>
      <c r="D20" s="1" t="s">
        <v>75</v>
      </c>
      <c r="E20" s="15">
        <v>8</v>
      </c>
      <c r="F20" s="15" t="s">
        <v>19</v>
      </c>
      <c r="G20" s="12">
        <v>0.73</v>
      </c>
      <c r="H20" s="12">
        <v>5.84</v>
      </c>
      <c r="I20" s="1" t="s">
        <v>76</v>
      </c>
      <c r="J20" s="10">
        <v>2</v>
      </c>
      <c r="K20" s="2" t="s">
        <v>77</v>
      </c>
    </row>
    <row r="21" spans="1:12" x14ac:dyDescent="0.2">
      <c r="A21">
        <f t="shared" si="0"/>
        <v>15</v>
      </c>
      <c r="B21" s="1" t="s">
        <v>60</v>
      </c>
      <c r="C21" s="1" t="s">
        <v>78</v>
      </c>
      <c r="D21" s="1" t="s">
        <v>79</v>
      </c>
      <c r="E21" s="15">
        <v>1</v>
      </c>
      <c r="F21" s="15" t="s">
        <v>19</v>
      </c>
      <c r="G21" s="12">
        <v>13.44</v>
      </c>
      <c r="H21" s="12">
        <v>13.44</v>
      </c>
      <c r="I21" s="1" t="s">
        <v>80</v>
      </c>
      <c r="J21" s="10">
        <v>2</v>
      </c>
      <c r="K21" s="2" t="s">
        <v>64</v>
      </c>
      <c r="L21" t="s">
        <v>81</v>
      </c>
    </row>
    <row r="22" spans="1:12" x14ac:dyDescent="0.2">
      <c r="A22">
        <f t="shared" si="0"/>
        <v>16</v>
      </c>
      <c r="B22" s="1" t="s">
        <v>60</v>
      </c>
      <c r="C22" s="1" t="s">
        <v>82</v>
      </c>
      <c r="D22" s="1" t="s">
        <v>83</v>
      </c>
      <c r="E22" s="15">
        <v>1</v>
      </c>
      <c r="F22" s="15" t="s">
        <v>19</v>
      </c>
      <c r="G22" s="12">
        <v>6.79</v>
      </c>
      <c r="H22" s="12">
        <v>6.79</v>
      </c>
      <c r="I22" s="1" t="s">
        <v>84</v>
      </c>
      <c r="J22" s="10">
        <v>2</v>
      </c>
      <c r="K22" s="1" t="s">
        <v>85</v>
      </c>
    </row>
    <row r="23" spans="1:12" x14ac:dyDescent="0.2">
      <c r="A23">
        <f t="shared" si="0"/>
        <v>17</v>
      </c>
      <c r="B23" s="1" t="s">
        <v>86</v>
      </c>
      <c r="C23" s="1" t="s">
        <v>87</v>
      </c>
      <c r="D23" s="1" t="s">
        <v>88</v>
      </c>
      <c r="E23" s="15">
        <v>4</v>
      </c>
      <c r="F23" s="15" t="s">
        <v>89</v>
      </c>
      <c r="G23" s="12">
        <v>13.99</v>
      </c>
      <c r="H23" s="12">
        <v>27.98</v>
      </c>
      <c r="I23" s="1" t="s">
        <v>90</v>
      </c>
      <c r="J23" s="10">
        <v>2</v>
      </c>
      <c r="K23" s="2" t="s">
        <v>91</v>
      </c>
    </row>
    <row r="24" spans="1:12" x14ac:dyDescent="0.2">
      <c r="A24">
        <f t="shared" si="0"/>
        <v>18</v>
      </c>
      <c r="B24" s="1" t="s">
        <v>86</v>
      </c>
      <c r="C24" s="1" t="s">
        <v>92</v>
      </c>
      <c r="D24" s="1" t="s">
        <v>93</v>
      </c>
      <c r="E24" s="15">
        <v>10</v>
      </c>
      <c r="F24" s="15" t="s">
        <v>89</v>
      </c>
      <c r="G24" s="12">
        <v>7.99</v>
      </c>
      <c r="H24" s="12">
        <v>7.99</v>
      </c>
      <c r="I24" s="1" t="s">
        <v>94</v>
      </c>
      <c r="J24" s="10">
        <v>2</v>
      </c>
      <c r="K24" s="1" t="s">
        <v>95</v>
      </c>
    </row>
    <row r="25" spans="1:12" x14ac:dyDescent="0.2">
      <c r="A25">
        <f t="shared" si="0"/>
        <v>19</v>
      </c>
      <c r="B25" s="1" t="s">
        <v>86</v>
      </c>
      <c r="C25" s="1" t="s">
        <v>96</v>
      </c>
      <c r="D25" s="1" t="s">
        <v>97</v>
      </c>
      <c r="E25" s="15">
        <v>2</v>
      </c>
      <c r="F25" s="15" t="s">
        <v>98</v>
      </c>
      <c r="G25" s="12">
        <v>4.99</v>
      </c>
      <c r="H25" s="12">
        <v>4.99</v>
      </c>
      <c r="I25" s="1" t="s">
        <v>99</v>
      </c>
      <c r="J25" s="10">
        <v>2</v>
      </c>
      <c r="K25" s="1" t="s">
        <v>100</v>
      </c>
    </row>
    <row r="26" spans="1:12" x14ac:dyDescent="0.2">
      <c r="A26">
        <f t="shared" si="0"/>
        <v>20</v>
      </c>
      <c r="B26" s="1" t="s">
        <v>86</v>
      </c>
      <c r="C26" s="1" t="s">
        <v>101</v>
      </c>
      <c r="D26" s="1" t="s">
        <v>102</v>
      </c>
      <c r="E26" s="15">
        <v>1</v>
      </c>
      <c r="F26" s="15" t="s">
        <v>103</v>
      </c>
      <c r="G26" s="12">
        <v>7.99</v>
      </c>
      <c r="H26" s="12">
        <v>7.99</v>
      </c>
      <c r="I26" s="1" t="s">
        <v>104</v>
      </c>
      <c r="J26" s="10">
        <v>2</v>
      </c>
      <c r="K26" s="2" t="s">
        <v>105</v>
      </c>
    </row>
    <row r="27" spans="1:12" x14ac:dyDescent="0.2">
      <c r="A27">
        <f t="shared" si="0"/>
        <v>21</v>
      </c>
      <c r="B27" s="3" t="s">
        <v>86</v>
      </c>
      <c r="C27" s="1" t="s">
        <v>106</v>
      </c>
      <c r="D27" s="1" t="s">
        <v>107</v>
      </c>
      <c r="E27" s="15">
        <v>1</v>
      </c>
      <c r="F27" s="15" t="s">
        <v>49</v>
      </c>
      <c r="G27" s="12">
        <v>31.99</v>
      </c>
      <c r="H27" s="12">
        <v>31.99</v>
      </c>
      <c r="I27" s="1" t="s">
        <v>108</v>
      </c>
      <c r="J27" s="10">
        <v>2</v>
      </c>
      <c r="K27" s="2" t="s">
        <v>109</v>
      </c>
    </row>
    <row r="28" spans="1:12" x14ac:dyDescent="0.2">
      <c r="A28">
        <f t="shared" si="0"/>
        <v>22</v>
      </c>
      <c r="B28" s="6" t="s">
        <v>110</v>
      </c>
      <c r="C28" s="7" t="s">
        <v>111</v>
      </c>
      <c r="D28" s="7" t="s">
        <v>112</v>
      </c>
      <c r="E28" s="14">
        <v>1</v>
      </c>
      <c r="F28" s="14" t="s">
        <v>19</v>
      </c>
      <c r="G28" s="11">
        <v>6.49</v>
      </c>
      <c r="H28" s="11">
        <v>6.49</v>
      </c>
      <c r="I28" s="7" t="s">
        <v>113</v>
      </c>
      <c r="J28" s="8">
        <v>2</v>
      </c>
      <c r="K28" s="7" t="s">
        <v>114</v>
      </c>
    </row>
    <row r="29" spans="1:12" x14ac:dyDescent="0.2">
      <c r="A29">
        <f t="shared" si="0"/>
        <v>23</v>
      </c>
      <c r="B29" s="6" t="s">
        <v>110</v>
      </c>
      <c r="C29" s="7" t="s">
        <v>115</v>
      </c>
      <c r="D29" s="7" t="s">
        <v>116</v>
      </c>
      <c r="E29" s="14">
        <v>1</v>
      </c>
      <c r="F29" s="14" t="s">
        <v>36</v>
      </c>
      <c r="G29" s="11">
        <v>7.99</v>
      </c>
      <c r="H29" s="11">
        <v>7.99</v>
      </c>
      <c r="I29" s="7" t="s">
        <v>117</v>
      </c>
      <c r="J29" s="8">
        <v>2</v>
      </c>
      <c r="K29" s="7" t="s">
        <v>118</v>
      </c>
    </row>
    <row r="30" spans="1:12" x14ac:dyDescent="0.2">
      <c r="A30">
        <f t="shared" si="0"/>
        <v>24</v>
      </c>
      <c r="B30" s="6" t="s">
        <v>110</v>
      </c>
      <c r="C30" s="7" t="s">
        <v>119</v>
      </c>
      <c r="D30" s="7" t="s">
        <v>120</v>
      </c>
      <c r="E30" s="14">
        <v>1</v>
      </c>
      <c r="F30" s="14" t="s">
        <v>19</v>
      </c>
      <c r="G30" s="11">
        <v>12.99</v>
      </c>
      <c r="H30" s="11">
        <v>12.99</v>
      </c>
      <c r="I30" s="7" t="s">
        <v>121</v>
      </c>
      <c r="J30" s="8">
        <v>2</v>
      </c>
      <c r="K30" s="7" t="s">
        <v>122</v>
      </c>
    </row>
    <row r="31" spans="1:12" x14ac:dyDescent="0.2">
      <c r="A31">
        <f t="shared" si="0"/>
        <v>25</v>
      </c>
      <c r="B31" s="6" t="s">
        <v>110</v>
      </c>
      <c r="C31" s="7" t="s">
        <v>123</v>
      </c>
      <c r="D31" s="7" t="s">
        <v>124</v>
      </c>
      <c r="E31" s="14">
        <v>1</v>
      </c>
      <c r="F31" s="14" t="s">
        <v>19</v>
      </c>
      <c r="G31" s="11">
        <v>19.989999999999998</v>
      </c>
      <c r="H31" s="11">
        <v>19.989999999999998</v>
      </c>
      <c r="I31" s="7" t="s">
        <v>125</v>
      </c>
      <c r="J31" s="8">
        <v>2</v>
      </c>
      <c r="K31" s="7" t="s">
        <v>126</v>
      </c>
    </row>
    <row r="32" spans="1:12" x14ac:dyDescent="0.2">
      <c r="A32">
        <f t="shared" si="0"/>
        <v>26</v>
      </c>
      <c r="B32" s="6" t="s">
        <v>110</v>
      </c>
      <c r="C32" s="7" t="s">
        <v>127</v>
      </c>
      <c r="D32" s="7" t="s">
        <v>128</v>
      </c>
      <c r="E32" s="14">
        <v>1</v>
      </c>
      <c r="F32" s="14" t="s">
        <v>19</v>
      </c>
      <c r="G32" s="11">
        <v>14.99</v>
      </c>
      <c r="H32" s="11">
        <v>14.99</v>
      </c>
      <c r="I32" s="7" t="s">
        <v>129</v>
      </c>
      <c r="J32" s="8">
        <v>2</v>
      </c>
      <c r="K32" s="7" t="s">
        <v>130</v>
      </c>
    </row>
    <row r="33" spans="1:11" x14ac:dyDescent="0.2">
      <c r="A33">
        <f t="shared" si="0"/>
        <v>27</v>
      </c>
      <c r="B33" s="6" t="s">
        <v>110</v>
      </c>
      <c r="C33" s="7" t="s">
        <v>131</v>
      </c>
      <c r="D33" s="7" t="s">
        <v>132</v>
      </c>
      <c r="E33" s="14">
        <v>1</v>
      </c>
      <c r="F33" s="14" t="s">
        <v>19</v>
      </c>
      <c r="G33" s="11">
        <v>7.99</v>
      </c>
      <c r="H33" s="11">
        <v>7.99</v>
      </c>
      <c r="I33" s="7" t="s">
        <v>133</v>
      </c>
      <c r="J33" s="8">
        <v>2</v>
      </c>
      <c r="K33" s="7" t="s">
        <v>134</v>
      </c>
    </row>
    <row r="34" spans="1:11" x14ac:dyDescent="0.2">
      <c r="A34">
        <f t="shared" si="0"/>
        <v>28</v>
      </c>
      <c r="B34" s="6" t="s">
        <v>110</v>
      </c>
      <c r="C34" s="7" t="s">
        <v>135</v>
      </c>
      <c r="D34" s="7" t="s">
        <v>136</v>
      </c>
      <c r="E34" s="14">
        <v>1</v>
      </c>
      <c r="F34" s="14" t="s">
        <v>19</v>
      </c>
      <c r="G34" s="11">
        <v>99</v>
      </c>
      <c r="H34" s="11">
        <v>99</v>
      </c>
      <c r="I34" s="7" t="s">
        <v>137</v>
      </c>
      <c r="J34" s="8">
        <v>2</v>
      </c>
      <c r="K34" s="7" t="s">
        <v>138</v>
      </c>
    </row>
    <row r="35" spans="1:11" x14ac:dyDescent="0.2">
      <c r="A35">
        <f t="shared" si="0"/>
        <v>29</v>
      </c>
      <c r="B35" s="6" t="s">
        <v>110</v>
      </c>
      <c r="C35" s="7" t="s">
        <v>139</v>
      </c>
      <c r="D35" s="7" t="s">
        <v>140</v>
      </c>
      <c r="E35" s="14">
        <v>1</v>
      </c>
      <c r="F35" s="14" t="s">
        <v>19</v>
      </c>
      <c r="G35" s="11">
        <v>6.49</v>
      </c>
      <c r="H35" s="11">
        <v>6.49</v>
      </c>
      <c r="I35" s="7" t="s">
        <v>141</v>
      </c>
      <c r="J35" s="8">
        <v>2</v>
      </c>
      <c r="K35" s="7" t="s">
        <v>142</v>
      </c>
    </row>
    <row r="36" spans="1:11" x14ac:dyDescent="0.2">
      <c r="A36">
        <f t="shared" si="0"/>
        <v>30</v>
      </c>
      <c r="B36" s="6" t="s">
        <v>110</v>
      </c>
      <c r="C36" s="7" t="s">
        <v>143</v>
      </c>
      <c r="D36" s="7" t="s">
        <v>144</v>
      </c>
      <c r="E36" s="14">
        <v>1</v>
      </c>
      <c r="F36" s="14" t="s">
        <v>19</v>
      </c>
      <c r="G36" s="11">
        <v>8.49</v>
      </c>
      <c r="H36" s="11">
        <v>8.49</v>
      </c>
      <c r="I36" s="7" t="s">
        <v>145</v>
      </c>
      <c r="J36" s="8">
        <v>2</v>
      </c>
      <c r="K36" s="7" t="s">
        <v>146</v>
      </c>
    </row>
    <row r="37" spans="1:11" x14ac:dyDescent="0.2">
      <c r="A37">
        <f t="shared" si="0"/>
        <v>31</v>
      </c>
      <c r="B37" s="6" t="s">
        <v>147</v>
      </c>
      <c r="C37" s="7" t="s">
        <v>148</v>
      </c>
      <c r="D37" s="7" t="s">
        <v>149</v>
      </c>
      <c r="E37" s="14">
        <v>2</v>
      </c>
      <c r="F37" s="14" t="s">
        <v>19</v>
      </c>
      <c r="G37" s="11">
        <v>8.49</v>
      </c>
      <c r="H37" s="11">
        <v>16.98</v>
      </c>
      <c r="I37" s="7" t="s">
        <v>150</v>
      </c>
      <c r="J37" s="8">
        <v>2</v>
      </c>
      <c r="K37" s="7" t="s">
        <v>151</v>
      </c>
    </row>
    <row r="38" spans="1:11" x14ac:dyDescent="0.2">
      <c r="A38">
        <f t="shared" si="0"/>
        <v>32</v>
      </c>
      <c r="B38" s="6" t="s">
        <v>147</v>
      </c>
      <c r="C38" s="7" t="s">
        <v>152</v>
      </c>
      <c r="D38" s="7" t="s">
        <v>153</v>
      </c>
      <c r="E38" s="14">
        <v>1</v>
      </c>
      <c r="F38" s="14" t="s">
        <v>19</v>
      </c>
      <c r="G38" s="11">
        <v>64.989999999999995</v>
      </c>
      <c r="H38" s="11">
        <v>64.989999999999995</v>
      </c>
      <c r="I38" s="7" t="s">
        <v>154</v>
      </c>
      <c r="J38" s="8">
        <v>2</v>
      </c>
      <c r="K38" s="7" t="s">
        <v>155</v>
      </c>
    </row>
    <row r="39" spans="1:11" x14ac:dyDescent="0.2">
      <c r="A39">
        <f t="shared" si="0"/>
        <v>33</v>
      </c>
      <c r="B39" s="6" t="s">
        <v>147</v>
      </c>
      <c r="C39" s="7" t="s">
        <v>156</v>
      </c>
      <c r="D39" s="7" t="s">
        <v>157</v>
      </c>
      <c r="E39" s="14">
        <v>1</v>
      </c>
      <c r="F39" s="14" t="s">
        <v>36</v>
      </c>
      <c r="G39" s="11">
        <v>9.99</v>
      </c>
      <c r="H39" s="11">
        <v>9.99</v>
      </c>
      <c r="I39" s="7" t="s">
        <v>158</v>
      </c>
      <c r="J39" s="8">
        <v>2</v>
      </c>
      <c r="K39" s="7" t="s">
        <v>159</v>
      </c>
    </row>
    <row r="40" spans="1:11" x14ac:dyDescent="0.2">
      <c r="A40">
        <f t="shared" ref="A40:A62" si="1">A39+1</f>
        <v>34</v>
      </c>
      <c r="B40" s="6" t="s">
        <v>147</v>
      </c>
      <c r="C40" s="7" t="s">
        <v>160</v>
      </c>
      <c r="D40" s="7" t="s">
        <v>161</v>
      </c>
      <c r="E40" s="14">
        <v>1</v>
      </c>
      <c r="F40" s="14" t="s">
        <v>19</v>
      </c>
      <c r="G40" s="11">
        <v>6.99</v>
      </c>
      <c r="H40" s="11">
        <v>6.99</v>
      </c>
      <c r="I40" s="7" t="s">
        <v>162</v>
      </c>
      <c r="J40" s="8">
        <v>2</v>
      </c>
      <c r="K40" s="7" t="s">
        <v>163</v>
      </c>
    </row>
    <row r="41" spans="1:11" x14ac:dyDescent="0.2">
      <c r="A41">
        <f t="shared" si="1"/>
        <v>35</v>
      </c>
      <c r="B41" s="6" t="s">
        <v>147</v>
      </c>
      <c r="C41" s="7" t="s">
        <v>164</v>
      </c>
      <c r="D41" s="7" t="s">
        <v>165</v>
      </c>
      <c r="E41" s="14">
        <v>1</v>
      </c>
      <c r="F41" s="14" t="s">
        <v>19</v>
      </c>
      <c r="G41" s="11">
        <v>6.49</v>
      </c>
      <c r="H41" s="11">
        <v>6.49</v>
      </c>
      <c r="I41" s="7" t="s">
        <v>166</v>
      </c>
      <c r="J41" s="8">
        <v>2</v>
      </c>
      <c r="K41" s="7" t="s">
        <v>167</v>
      </c>
    </row>
    <row r="42" spans="1:11" x14ac:dyDescent="0.2">
      <c r="A42">
        <f t="shared" si="1"/>
        <v>36</v>
      </c>
      <c r="B42" s="6" t="s">
        <v>147</v>
      </c>
      <c r="C42" s="7" t="s">
        <v>168</v>
      </c>
      <c r="D42" s="7" t="s">
        <v>169</v>
      </c>
      <c r="E42" s="14">
        <v>1</v>
      </c>
      <c r="F42" s="14" t="s">
        <v>19</v>
      </c>
      <c r="G42" s="11">
        <v>9.99</v>
      </c>
      <c r="H42" s="11">
        <v>9.99</v>
      </c>
      <c r="I42" s="7" t="s">
        <v>170</v>
      </c>
      <c r="J42" s="8">
        <v>2</v>
      </c>
      <c r="K42" s="7" t="s">
        <v>171</v>
      </c>
    </row>
    <row r="43" spans="1:11" x14ac:dyDescent="0.2">
      <c r="A43">
        <f t="shared" si="1"/>
        <v>37</v>
      </c>
      <c r="B43" s="7" t="s">
        <v>172</v>
      </c>
      <c r="C43" s="7" t="s">
        <v>173</v>
      </c>
      <c r="D43" s="7" t="s">
        <v>174</v>
      </c>
      <c r="E43" s="14">
        <v>1</v>
      </c>
      <c r="F43" s="14" t="s">
        <v>49</v>
      </c>
      <c r="G43" s="11">
        <v>7</v>
      </c>
      <c r="H43" s="11">
        <v>7</v>
      </c>
      <c r="I43" s="7" t="s">
        <v>175</v>
      </c>
      <c r="J43" s="8"/>
      <c r="K43" s="7"/>
    </row>
    <row r="44" spans="1:11" x14ac:dyDescent="0.2">
      <c r="A44">
        <f t="shared" si="1"/>
        <v>38</v>
      </c>
      <c r="B44" s="7" t="s">
        <v>172</v>
      </c>
      <c r="C44" s="7" t="s">
        <v>176</v>
      </c>
      <c r="D44" s="7" t="s">
        <v>177</v>
      </c>
      <c r="E44" s="14">
        <v>1</v>
      </c>
      <c r="F44" s="14" t="s">
        <v>36</v>
      </c>
      <c r="G44" s="11">
        <v>6</v>
      </c>
      <c r="H44" s="11">
        <v>6</v>
      </c>
      <c r="I44" s="7" t="s">
        <v>178</v>
      </c>
      <c r="J44" s="8"/>
      <c r="K44" s="7"/>
    </row>
    <row r="45" spans="1:11" x14ac:dyDescent="0.2">
      <c r="A45">
        <f t="shared" si="1"/>
        <v>39</v>
      </c>
      <c r="B45" s="7" t="s">
        <v>172</v>
      </c>
      <c r="C45" s="7" t="s">
        <v>179</v>
      </c>
      <c r="D45" s="7" t="s">
        <v>180</v>
      </c>
      <c r="E45" s="14">
        <v>1</v>
      </c>
      <c r="F45" s="14" t="s">
        <v>181</v>
      </c>
      <c r="G45" s="11">
        <v>4</v>
      </c>
      <c r="H45" s="11">
        <v>4</v>
      </c>
      <c r="I45" s="7" t="s">
        <v>182</v>
      </c>
      <c r="J45" s="8"/>
      <c r="K45" s="7"/>
    </row>
    <row r="46" spans="1:11" x14ac:dyDescent="0.2">
      <c r="A46">
        <f t="shared" si="1"/>
        <v>40</v>
      </c>
      <c r="B46" s="7" t="s">
        <v>183</v>
      </c>
      <c r="C46" s="7" t="s">
        <v>184</v>
      </c>
      <c r="D46" s="7" t="s">
        <v>185</v>
      </c>
      <c r="E46" s="14">
        <v>1</v>
      </c>
      <c r="F46" s="14" t="s">
        <v>186</v>
      </c>
      <c r="G46" s="11">
        <v>7</v>
      </c>
      <c r="H46" s="11">
        <v>7</v>
      </c>
      <c r="I46" s="7" t="s">
        <v>187</v>
      </c>
      <c r="J46" s="8"/>
      <c r="K46" s="7"/>
    </row>
    <row r="47" spans="1:11" x14ac:dyDescent="0.2">
      <c r="A47">
        <f t="shared" si="1"/>
        <v>41</v>
      </c>
      <c r="B47" s="7" t="s">
        <v>183</v>
      </c>
      <c r="C47" s="7" t="s">
        <v>188</v>
      </c>
      <c r="D47" s="7" t="s">
        <v>189</v>
      </c>
      <c r="E47" s="14">
        <v>1</v>
      </c>
      <c r="F47" s="14" t="s">
        <v>19</v>
      </c>
      <c r="G47" s="11">
        <v>55.99</v>
      </c>
      <c r="H47" s="11">
        <v>55.99</v>
      </c>
      <c r="I47" s="7" t="s">
        <v>190</v>
      </c>
      <c r="J47" s="8"/>
      <c r="K47" s="7"/>
    </row>
    <row r="48" spans="1:11" x14ac:dyDescent="0.2">
      <c r="A48">
        <f t="shared" si="1"/>
        <v>42</v>
      </c>
      <c r="B48" s="6" t="s">
        <v>191</v>
      </c>
      <c r="C48" s="7" t="s">
        <v>192</v>
      </c>
      <c r="D48" s="7" t="s">
        <v>193</v>
      </c>
      <c r="E48" s="14">
        <v>1</v>
      </c>
      <c r="F48" s="14" t="s">
        <v>19</v>
      </c>
      <c r="G48" s="11">
        <v>6.49</v>
      </c>
      <c r="H48" s="11">
        <v>6.49</v>
      </c>
      <c r="I48" s="7" t="s">
        <v>194</v>
      </c>
      <c r="J48" s="8">
        <v>2</v>
      </c>
      <c r="K48" s="7" t="s">
        <v>195</v>
      </c>
    </row>
    <row r="49" spans="1:11" x14ac:dyDescent="0.2">
      <c r="A49">
        <f t="shared" si="1"/>
        <v>43</v>
      </c>
      <c r="B49" s="6" t="s">
        <v>191</v>
      </c>
      <c r="C49" s="7" t="s">
        <v>196</v>
      </c>
      <c r="D49" s="7" t="s">
        <v>197</v>
      </c>
      <c r="E49" s="14">
        <v>1</v>
      </c>
      <c r="F49" s="14" t="s">
        <v>19</v>
      </c>
      <c r="G49" s="11">
        <v>19.989999999999998</v>
      </c>
      <c r="H49" s="11">
        <v>19.989999999999998</v>
      </c>
      <c r="I49" s="7" t="s">
        <v>198</v>
      </c>
      <c r="J49" s="8">
        <v>2</v>
      </c>
      <c r="K49" s="7" t="s">
        <v>199</v>
      </c>
    </row>
    <row r="50" spans="1:11" x14ac:dyDescent="0.2">
      <c r="A50">
        <f t="shared" si="1"/>
        <v>44</v>
      </c>
      <c r="B50" s="6" t="s">
        <v>191</v>
      </c>
      <c r="C50" s="7" t="s">
        <v>200</v>
      </c>
      <c r="D50" s="7" t="s">
        <v>201</v>
      </c>
      <c r="E50" s="14">
        <v>1</v>
      </c>
      <c r="F50" s="14" t="s">
        <v>19</v>
      </c>
      <c r="G50" s="11">
        <v>12.99</v>
      </c>
      <c r="H50" s="11">
        <v>12.99</v>
      </c>
      <c r="I50" s="7" t="s">
        <v>202</v>
      </c>
      <c r="J50" s="8">
        <v>2</v>
      </c>
      <c r="K50" s="7" t="s">
        <v>203</v>
      </c>
    </row>
    <row r="51" spans="1:11" x14ac:dyDescent="0.2">
      <c r="A51">
        <f t="shared" si="1"/>
        <v>45</v>
      </c>
      <c r="B51" s="6" t="s">
        <v>191</v>
      </c>
      <c r="C51" s="7" t="s">
        <v>204</v>
      </c>
      <c r="D51" s="7" t="s">
        <v>205</v>
      </c>
      <c r="E51" s="14">
        <v>1</v>
      </c>
      <c r="F51" s="14" t="s">
        <v>19</v>
      </c>
      <c r="G51" s="11">
        <v>34.99</v>
      </c>
      <c r="H51" s="11">
        <v>34.99</v>
      </c>
      <c r="I51" s="7" t="s">
        <v>206</v>
      </c>
      <c r="J51" s="8">
        <v>2</v>
      </c>
      <c r="K51" s="7" t="s">
        <v>207</v>
      </c>
    </row>
    <row r="52" spans="1:11" x14ac:dyDescent="0.2">
      <c r="A52">
        <f t="shared" si="1"/>
        <v>46</v>
      </c>
      <c r="B52" s="6" t="s">
        <v>208</v>
      </c>
      <c r="C52" s="7" t="s">
        <v>209</v>
      </c>
      <c r="D52" s="7" t="s">
        <v>210</v>
      </c>
      <c r="E52" s="14">
        <v>1</v>
      </c>
      <c r="F52" s="14" t="s">
        <v>19</v>
      </c>
      <c r="G52" s="11">
        <v>8.99</v>
      </c>
      <c r="H52" s="11">
        <v>8.99</v>
      </c>
      <c r="I52" s="7" t="s">
        <v>211</v>
      </c>
      <c r="J52" s="8">
        <v>2</v>
      </c>
      <c r="K52" s="7" t="s">
        <v>212</v>
      </c>
    </row>
    <row r="53" spans="1:11" x14ac:dyDescent="0.2">
      <c r="A53">
        <f t="shared" si="1"/>
        <v>47</v>
      </c>
      <c r="B53" s="6" t="s">
        <v>208</v>
      </c>
      <c r="C53" s="7" t="s">
        <v>213</v>
      </c>
      <c r="D53" s="7" t="s">
        <v>214</v>
      </c>
      <c r="E53" s="14">
        <v>1</v>
      </c>
      <c r="F53" s="14" t="s">
        <v>19</v>
      </c>
      <c r="G53" s="11">
        <v>7.99</v>
      </c>
      <c r="H53" s="11">
        <v>7.99</v>
      </c>
      <c r="I53" s="7" t="s">
        <v>215</v>
      </c>
      <c r="J53" s="8">
        <v>2</v>
      </c>
      <c r="K53" s="9" t="s">
        <v>216</v>
      </c>
    </row>
    <row r="54" spans="1:11" x14ac:dyDescent="0.2">
      <c r="A54">
        <f t="shared" si="1"/>
        <v>48</v>
      </c>
      <c r="B54" s="6" t="s">
        <v>208</v>
      </c>
      <c r="C54" s="7" t="s">
        <v>217</v>
      </c>
      <c r="D54" s="7" t="s">
        <v>218</v>
      </c>
      <c r="E54" s="14">
        <v>1</v>
      </c>
      <c r="F54" s="14" t="s">
        <v>19</v>
      </c>
      <c r="G54" s="11">
        <v>9.99</v>
      </c>
      <c r="H54" s="11">
        <v>9.99</v>
      </c>
      <c r="I54" s="7" t="s">
        <v>219</v>
      </c>
      <c r="J54" s="8">
        <v>2</v>
      </c>
      <c r="K54" s="9" t="s">
        <v>220</v>
      </c>
    </row>
    <row r="55" spans="1:11" x14ac:dyDescent="0.2">
      <c r="A55">
        <f t="shared" si="1"/>
        <v>49</v>
      </c>
      <c r="B55" s="6" t="s">
        <v>208</v>
      </c>
      <c r="C55" s="7" t="s">
        <v>221</v>
      </c>
      <c r="D55" s="7" t="s">
        <v>222</v>
      </c>
      <c r="E55" s="14">
        <v>1</v>
      </c>
      <c r="F55" s="14" t="s">
        <v>19</v>
      </c>
      <c r="G55" s="11">
        <v>59</v>
      </c>
      <c r="H55" s="11">
        <v>59</v>
      </c>
      <c r="I55" s="7" t="s">
        <v>223</v>
      </c>
      <c r="J55" s="8">
        <v>2</v>
      </c>
      <c r="K55" s="7" t="s">
        <v>224</v>
      </c>
    </row>
    <row r="56" spans="1:11" x14ac:dyDescent="0.2">
      <c r="A56">
        <f t="shared" si="1"/>
        <v>50</v>
      </c>
      <c r="B56" s="6" t="s">
        <v>208</v>
      </c>
      <c r="C56" s="7" t="s">
        <v>225</v>
      </c>
      <c r="D56" s="7" t="s">
        <v>226</v>
      </c>
      <c r="E56" s="14">
        <v>3</v>
      </c>
      <c r="F56" s="14" t="s">
        <v>19</v>
      </c>
      <c r="G56" s="11">
        <v>6.49</v>
      </c>
      <c r="H56" s="11">
        <v>19.47</v>
      </c>
      <c r="I56" s="7" t="s">
        <v>227</v>
      </c>
      <c r="J56" s="8">
        <v>2</v>
      </c>
      <c r="K56" s="9" t="s">
        <v>228</v>
      </c>
    </row>
    <row r="57" spans="1:11" x14ac:dyDescent="0.2">
      <c r="A57">
        <f t="shared" si="1"/>
        <v>51</v>
      </c>
      <c r="B57" s="6" t="s">
        <v>208</v>
      </c>
      <c r="C57" s="7" t="s">
        <v>229</v>
      </c>
      <c r="D57" s="7" t="s">
        <v>230</v>
      </c>
      <c r="E57" s="14">
        <v>1</v>
      </c>
      <c r="F57" s="14" t="s">
        <v>19</v>
      </c>
      <c r="G57" s="11">
        <v>8.49</v>
      </c>
      <c r="H57" s="11">
        <v>8.49</v>
      </c>
      <c r="I57" s="7" t="s">
        <v>231</v>
      </c>
      <c r="J57" s="8">
        <v>2</v>
      </c>
      <c r="K57" s="9" t="s">
        <v>232</v>
      </c>
    </row>
    <row r="58" spans="1:11" x14ac:dyDescent="0.2">
      <c r="A58">
        <f t="shared" si="1"/>
        <v>52</v>
      </c>
      <c r="B58" s="6" t="s">
        <v>208</v>
      </c>
      <c r="C58" s="7" t="s">
        <v>233</v>
      </c>
      <c r="D58" s="7" t="s">
        <v>234</v>
      </c>
      <c r="E58" s="14">
        <v>1</v>
      </c>
      <c r="F58" s="14" t="s">
        <v>19</v>
      </c>
      <c r="G58" s="11">
        <v>7.99</v>
      </c>
      <c r="H58" s="11">
        <v>7.99</v>
      </c>
      <c r="I58" s="7" t="s">
        <v>235</v>
      </c>
      <c r="J58" s="8">
        <v>2</v>
      </c>
      <c r="K58" s="9" t="s">
        <v>236</v>
      </c>
    </row>
    <row r="59" spans="1:11" x14ac:dyDescent="0.2">
      <c r="A59">
        <f t="shared" si="1"/>
        <v>53</v>
      </c>
      <c r="B59" s="6" t="s">
        <v>208</v>
      </c>
      <c r="C59" s="7" t="s">
        <v>237</v>
      </c>
      <c r="D59" s="7" t="s">
        <v>238</v>
      </c>
      <c r="E59" s="14">
        <v>1</v>
      </c>
      <c r="F59" s="14" t="s">
        <v>19</v>
      </c>
      <c r="G59" s="11">
        <v>59.2</v>
      </c>
      <c r="H59" s="11">
        <v>59.2</v>
      </c>
      <c r="I59" s="7" t="s">
        <v>239</v>
      </c>
      <c r="J59" s="8">
        <v>2</v>
      </c>
      <c r="K59" s="9" t="s">
        <v>240</v>
      </c>
    </row>
    <row r="60" spans="1:11" x14ac:dyDescent="0.2">
      <c r="A60">
        <f t="shared" si="1"/>
        <v>54</v>
      </c>
      <c r="B60" s="6" t="s">
        <v>208</v>
      </c>
      <c r="C60" s="7" t="s">
        <v>241</v>
      </c>
      <c r="D60" s="7" t="s">
        <v>242</v>
      </c>
      <c r="E60" s="14">
        <v>1</v>
      </c>
      <c r="F60" s="14" t="s">
        <v>19</v>
      </c>
      <c r="G60" s="11">
        <v>8.99</v>
      </c>
      <c r="H60" s="11">
        <v>8.99</v>
      </c>
      <c r="I60" s="7" t="s">
        <v>243</v>
      </c>
      <c r="J60" s="8"/>
      <c r="K60" s="9"/>
    </row>
    <row r="61" spans="1:11" x14ac:dyDescent="0.2">
      <c r="A61">
        <f t="shared" si="1"/>
        <v>55</v>
      </c>
      <c r="B61" s="1" t="s">
        <v>244</v>
      </c>
      <c r="C61" s="1" t="s">
        <v>245</v>
      </c>
      <c r="D61" s="1" t="s">
        <v>246</v>
      </c>
      <c r="E61" s="15">
        <v>1</v>
      </c>
      <c r="F61" s="15" t="s">
        <v>247</v>
      </c>
      <c r="G61" s="12">
        <v>5.99</v>
      </c>
      <c r="H61" s="12">
        <v>5.99</v>
      </c>
      <c r="I61" s="1" t="s">
        <v>248</v>
      </c>
      <c r="J61" s="10">
        <v>2</v>
      </c>
      <c r="K61" s="2" t="s">
        <v>249</v>
      </c>
    </row>
    <row r="62" spans="1:11" x14ac:dyDescent="0.2">
      <c r="A62">
        <f t="shared" si="1"/>
        <v>56</v>
      </c>
      <c r="B62" s="1" t="s">
        <v>244</v>
      </c>
      <c r="C62" s="1" t="s">
        <v>250</v>
      </c>
      <c r="D62" s="1" t="s">
        <v>251</v>
      </c>
      <c r="E62" s="15">
        <v>1</v>
      </c>
      <c r="F62" s="15" t="s">
        <v>252</v>
      </c>
      <c r="G62" s="12">
        <v>12.99</v>
      </c>
      <c r="H62" s="12">
        <v>12.99</v>
      </c>
      <c r="I62" s="1" t="s">
        <v>253</v>
      </c>
      <c r="J62" s="10">
        <v>2</v>
      </c>
      <c r="K62" s="2" t="s">
        <v>254</v>
      </c>
    </row>
    <row r="63" spans="1:11" x14ac:dyDescent="0.2">
      <c r="B63" s="4" t="s">
        <v>255</v>
      </c>
      <c r="C63" s="1" t="s">
        <v>256</v>
      </c>
      <c r="D63" s="1" t="s">
        <v>257</v>
      </c>
      <c r="E63" s="15">
        <v>1</v>
      </c>
      <c r="F63" s="15" t="s">
        <v>19</v>
      </c>
      <c r="G63" s="12">
        <v>37.99</v>
      </c>
      <c r="H63" s="12">
        <v>37.99</v>
      </c>
      <c r="I63" s="1" t="s">
        <v>258</v>
      </c>
      <c r="J63" s="10">
        <v>2</v>
      </c>
      <c r="K63" s="2" t="s">
        <v>259</v>
      </c>
    </row>
    <row r="64" spans="1:11" x14ac:dyDescent="0.2">
      <c r="H64" s="16"/>
      <c r="J64" s="5"/>
    </row>
    <row r="65" spans="10:10" x14ac:dyDescent="0.2">
      <c r="J65" s="5"/>
    </row>
    <row r="66" spans="10:10" x14ac:dyDescent="0.2">
      <c r="J66" s="5"/>
    </row>
    <row r="67" spans="10:10" x14ac:dyDescent="0.2">
      <c r="J67" s="5"/>
    </row>
    <row r="68" spans="10:10" x14ac:dyDescent="0.2">
      <c r="J68" s="5"/>
    </row>
    <row r="69" spans="10:10" x14ac:dyDescent="0.2">
      <c r="J69" s="5"/>
    </row>
    <row r="70" spans="10:10" x14ac:dyDescent="0.2">
      <c r="J70" s="5"/>
    </row>
    <row r="71" spans="10:10" x14ac:dyDescent="0.2">
      <c r="J71" s="5"/>
    </row>
    <row r="72" spans="10:10" x14ac:dyDescent="0.2">
      <c r="J72" s="5"/>
    </row>
    <row r="73" spans="10:10" x14ac:dyDescent="0.2">
      <c r="J73" s="5"/>
    </row>
    <row r="74" spans="10:10" x14ac:dyDescent="0.2">
      <c r="J74" s="5"/>
    </row>
    <row r="75" spans="10:10" x14ac:dyDescent="0.2">
      <c r="J75" s="5"/>
    </row>
    <row r="76" spans="10:10" x14ac:dyDescent="0.2">
      <c r="J76" s="5"/>
    </row>
    <row r="77" spans="10:10" x14ac:dyDescent="0.2">
      <c r="J77" s="5"/>
    </row>
    <row r="78" spans="10:10" x14ac:dyDescent="0.2">
      <c r="J78" s="5"/>
    </row>
    <row r="79" spans="10:10" x14ac:dyDescent="0.2">
      <c r="J79" s="5"/>
    </row>
    <row r="80" spans="10:10" x14ac:dyDescent="0.2">
      <c r="J80" s="5"/>
    </row>
  </sheetData>
  <hyperlinks>
    <hyperlink ref="K7" r:id="rId1" xr:uid="{D8B00893-1204-42D6-8C0F-115E38EC902C}"/>
    <hyperlink ref="K8" r:id="rId2" xr:uid="{2009453C-3B43-44C1-AF14-27624A27E2B7}"/>
    <hyperlink ref="K9" r:id="rId3" xr:uid="{CE756447-A2FC-4111-87B1-0628FD3F2A5F}"/>
    <hyperlink ref="K27" r:id="rId4" xr:uid="{06968324-0463-4ABA-AE27-231555F90576}"/>
    <hyperlink ref="K26" r:id="rId5" xr:uid="{FF619AD0-1223-43AF-BA2A-1BFBF27483B4}"/>
    <hyperlink ref="K20" r:id="rId6" xr:uid="{6E40B9D6-685C-4852-9CAA-B915207ACF10}"/>
    <hyperlink ref="K19" r:id="rId7" xr:uid="{5E357FD1-5ABC-42BD-9C8A-7B4EBD9B1E1C}"/>
    <hyperlink ref="K18" r:id="rId8" xr:uid="{41C3543B-1CBB-4C7D-9876-C100423247D6}"/>
    <hyperlink ref="K17" r:id="rId9" display="https://www.amazon.com/12-Pack-Fittings-Furniture-Connector-Structure/dp/B0C69BLRMG/ref=pd_day0fbt_hardlines_d_sccl_2/139-1576181-0431922?pd_rd_w=2bYol&amp;content-id=amzn1.sym.06aea998-aa9c-454e-b467-b476407c7977&amp;pf_rd_p=06aea998-aa9c-454e-b467-b476407c7977&amp;pf_rd_r=XVCHBMRE0BF17QK4EATT&amp;pd_rd_wg=jrCg7&amp;pd_rd_r=47b12c02-b336-4bec-8dcd-68dda4e88b93&amp;pd_rd_i=B0C69BLRMG&amp;th=1" xr:uid="{AC90D530-6BB3-4589-9896-0337E30C8CFB}"/>
    <hyperlink ref="K21" r:id="rId10" display="https://www.amazon.com/12-Pack-Fittings-Furniture-Connector-Structure/dp/B0C69BLRMG/ref=pd_day0fbt_hardlines_d_sccl_2/139-1576181-0431922?pd_rd_w=2bYol&amp;content-id=amzn1.sym.06aea998-aa9c-454e-b467-b476407c7977&amp;pf_rd_p=06aea998-aa9c-454e-b467-b476407c7977&amp;pf_rd_r=XVCHBMRE0BF17QK4EATT&amp;pd_rd_wg=jrCg7&amp;pd_rd_r=47b12c02-b336-4bec-8dcd-68dda4e88b93&amp;pd_rd_i=B0C69BLRMG&amp;th=1" xr:uid="{509B7F74-D0E5-4588-B9EE-FEBA112BFA33}"/>
    <hyperlink ref="K62" r:id="rId11" display="https://www.amazon.com/AC-Infinity-MULTIFAN-Receiver-Playstation/dp/B00JLV4BWC?psc=1&amp;pd_rd_w=k3Kc4&amp;content-id=amzn1.sym.55c0153f-1fb7-42ff-8241-d1c0f3732289&amp;pf_rd_p=55c0153f-1fb7-42ff-8241-d1c0f3732289&amp;pf_rd_r=7T7NYBP0H8VP92DM9CK8&amp;pd_rd_wg=dtQid&amp;pd_rd_r=bce59f41-dc16-47cd-9930-12f76fbb363f&amp;ref_=sspa_dk_detail_sbb_0&amp;sp_csd=d2lkZ2V0TmFtZT1zcF9kZXRhaWxfdGhlbWF0aWM=" xr:uid="{4C63979A-27B3-45D3-A8BF-C43E646D9BEB}"/>
    <hyperlink ref="K61" r:id="rId12" display="https://www.amazon.com/Easycargo-120mm-Grill-Guard-Screws/dp/B07VCNLQZD/ref=sr_1_3?dib=eyJ2IjoiMSJ9.tDtLw3d8tkuPe_75hozv6QLJgrhN1Xl4hPS4HRIUf4PwQp_7Yjvk5x3xA7qZ2rHCuhqlGzShsJ0NdG-UQdh9hKGFME4FTSSrv39kGn-_q8AnijX0w3gAgjSR6XpdRM4O85mRR2xH2lAofh_B9rr0VbSIEiML9_ucxTA20arlkeb_4r4xVMp0wzi7Azb7O-L4J57ZYpAEHvVSnxbGjmKhN7zvqJ0P2cytWFzTNJ8GmIM.ic-NWb45SqauP1UIBK1FsK9pWd-W4yEnjcxRMnegg90&amp;dib_tag=se&amp;keywords=120mm+fan+grill&amp;qid=1760084257&amp;sr=8-3" xr:uid="{B442EF59-3AD1-4BD5-81E0-09F482996B0E}"/>
    <hyperlink ref="K63" r:id="rId13" xr:uid="{368D66D4-C29A-4547-B810-59D9E3890AB9}"/>
    <hyperlink ref="K58" r:id="rId14" xr:uid="{58226385-A895-4E3A-B4A4-B169206F96DB}"/>
    <hyperlink ref="K57" r:id="rId15" xr:uid="{4763BDC1-99EC-4B80-AE33-7C20970A24FB}"/>
    <hyperlink ref="K56" r:id="rId16" xr:uid="{8550DA6A-A60F-41A5-B508-4AB4CA0B2CDB}"/>
    <hyperlink ref="K59" r:id="rId17" xr:uid="{6A2F2E77-72DA-4313-8544-B3B021BC09A1}"/>
    <hyperlink ref="K54" r:id="rId18" xr:uid="{EF1B7B49-1922-2E4D-A8DB-A43CB3F33E75}"/>
    <hyperlink ref="K53" r:id="rId19" xr:uid="{CE00C98B-A278-674E-9F74-679CCE3089F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a11d1a-0268-4498-9580-22333a76f1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8773538EEFB44ABCA7DACEE1F7CA88" ma:contentTypeVersion="8" ma:contentTypeDescription="Create a new document." ma:contentTypeScope="" ma:versionID="d041b1b47e5c2fa2f420b6feb53ceaf2">
  <xsd:schema xmlns:xsd="http://www.w3.org/2001/XMLSchema" xmlns:xs="http://www.w3.org/2001/XMLSchema" xmlns:p="http://schemas.microsoft.com/office/2006/metadata/properties" xmlns:ns3="68a11d1a-0268-4498-9580-22333a76f1ef" targetNamespace="http://schemas.microsoft.com/office/2006/metadata/properties" ma:root="true" ma:fieldsID="ff62965b7a2d34a7ec8977b6303161c4" ns3:_="">
    <xsd:import namespace="68a11d1a-0268-4498-9580-22333a76f1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11d1a-0268-4498-9580-22333a76f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B407AF-B3B5-4256-BA45-EA8855917434}">
  <ds:schemaRefs>
    <ds:schemaRef ds:uri="http://schemas.microsoft.com/office/2006/metadata/properties"/>
    <ds:schemaRef ds:uri="http://schemas.microsoft.com/office/infopath/2007/PartnerControls"/>
    <ds:schemaRef ds:uri="68a11d1a-0268-4498-9580-22333a76f1ef"/>
  </ds:schemaRefs>
</ds:datastoreItem>
</file>

<file path=customXml/itemProps2.xml><?xml version="1.0" encoding="utf-8"?>
<ds:datastoreItem xmlns:ds="http://schemas.openxmlformats.org/officeDocument/2006/customXml" ds:itemID="{EC38D74F-8646-4192-8C43-19865094CB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A9CC8E-4CA4-439C-B950-3B302215E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a11d1a-0268-4498-9580-22333a76f1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Updated_PhytoPi_BOM__Grouped_by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P Tuttle</cp:lastModifiedBy>
  <cp:revision/>
  <dcterms:created xsi:type="dcterms:W3CDTF">2025-10-10T01:31:49Z</dcterms:created>
  <dcterms:modified xsi:type="dcterms:W3CDTF">2025-10-23T20:06:35Z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0x010100E08773538EEFB44ABCA7DACEE1F7CA88</vt:lpwstr>
  </property>
</Properties>
</file>